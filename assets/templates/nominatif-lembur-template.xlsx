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NDA\Pph 21\- 3. PPh 21 Tahun 2026 Gaji\4. April\"/>
    </mc:Choice>
  </mc:AlternateContent>
  <xr:revisionPtr revIDLastSave="0" documentId="13_ncr:1_{D896449A-6AF5-4A8C-A997-3224DC88BFDB}" xr6:coauthVersionLast="47" xr6:coauthVersionMax="47" xr10:uidLastSave="{00000000-0000-0000-0000-000000000000}"/>
  <bookViews>
    <workbookView xWindow="-120" yWindow="-120" windowWidth="20730" windowHeight="11040" xr2:uid="{7F561AD3-336C-4859-A19A-7E7855AF7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6" i="1"/>
  <c r="N7" i="1"/>
  <c r="N8" i="1"/>
  <c r="N9" i="1"/>
  <c r="N5" i="1"/>
  <c r="M14" i="1"/>
  <c r="L14" i="1"/>
  <c r="N14" i="1" l="1"/>
</calcChain>
</file>

<file path=xl/sharedStrings.xml><?xml version="1.0" encoding="utf-8"?>
<sst xmlns="http://schemas.openxmlformats.org/spreadsheetml/2006/main" count="87" uniqueCount="61">
  <si>
    <t>No</t>
  </si>
  <si>
    <t>Nama</t>
  </si>
  <si>
    <t>Norek</t>
  </si>
  <si>
    <t>Nama Rekening</t>
  </si>
  <si>
    <t>KURNIASIH</t>
  </si>
  <si>
    <t>0347716496</t>
  </si>
  <si>
    <t>DEDI</t>
  </si>
  <si>
    <t>0657385380</t>
  </si>
  <si>
    <t>Total</t>
  </si>
  <si>
    <t>Nama Bank</t>
  </si>
  <si>
    <t>Bank Negara Indonesia</t>
  </si>
  <si>
    <t>Agus Priyanto</t>
  </si>
  <si>
    <t>Sdr AGUS PRIYANTO</t>
  </si>
  <si>
    <t>Fajar Ramadhan</t>
  </si>
  <si>
    <t>FAJAR RAMADHAN</t>
  </si>
  <si>
    <t>NIP</t>
  </si>
  <si>
    <t>Nominal Lembur</t>
  </si>
  <si>
    <t>71100289</t>
  </si>
  <si>
    <t>83030389</t>
  </si>
  <si>
    <t>92080723</t>
  </si>
  <si>
    <t>99010123</t>
  </si>
  <si>
    <t>Nilai Kotor</t>
  </si>
  <si>
    <t>Pajak</t>
  </si>
  <si>
    <t>Dicky Alexander</t>
  </si>
  <si>
    <t>Dicky alexander</t>
  </si>
  <si>
    <t>1497621672</t>
  </si>
  <si>
    <t>Hari Prabowo</t>
  </si>
  <si>
    <t>HARI PRABOWO</t>
  </si>
  <si>
    <t>no spm</t>
  </si>
  <si>
    <t>nik</t>
  </si>
  <si>
    <t>golongan</t>
  </si>
  <si>
    <t>status kawin</t>
  </si>
  <si>
    <t>3175026310710002</t>
  </si>
  <si>
    <t>3321234771238101</t>
  </si>
  <si>
    <t>3271061010570007</t>
  </si>
  <si>
    <t>1471010601990002</t>
  </si>
  <si>
    <t>3172012007810016</t>
  </si>
  <si>
    <t>1310022512960008</t>
  </si>
  <si>
    <t>4A</t>
  </si>
  <si>
    <t>2D</t>
  </si>
  <si>
    <t>2C</t>
  </si>
  <si>
    <t>2B</t>
  </si>
  <si>
    <t>Achmad Irfan Rustian</t>
  </si>
  <si>
    <t>Rahmat S</t>
  </si>
  <si>
    <t>Rachmat Setiawan</t>
  </si>
  <si>
    <t>Bpk ACHMAD IRFAN RUSTIAN</t>
  </si>
  <si>
    <t>0843396990</t>
  </si>
  <si>
    <t>Krisnal Saragih</t>
  </si>
  <si>
    <t>1330026428540</t>
  </si>
  <si>
    <t>Bank Mandiri</t>
  </si>
  <si>
    <t>01364T</t>
  </si>
  <si>
    <t>01366T</t>
  </si>
  <si>
    <t>3275042412830019</t>
  </si>
  <si>
    <t>3175081609840007</t>
  </si>
  <si>
    <t>Nominatif Lembur Patwal April 2026</t>
  </si>
  <si>
    <t>1602220702770001</t>
  </si>
  <si>
    <t>K/0</t>
  </si>
  <si>
    <t>K/1</t>
  </si>
  <si>
    <t>K/2</t>
  </si>
  <si>
    <t>K/3</t>
  </si>
  <si>
    <t>TK/0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</si>
</sst>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41" fontId="0" fillId="0" borderId="1" xfId="1" quotePrefix="1" applyFont="1" applyBorder="1" applyAlignment="1">
      <alignment horizontal="center"/>
    </xf>
    <xf numFmtId="0" fontId="0" fillId="0" borderId="1" xfId="0" applyBorder="1" applyAlignment="1">
      <alignment horizontal="left"/>
    </xf>
    <xf numFmtId="41" fontId="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4" fillId="0" borderId="1" xfId="0" quotePrefix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A3F2-8BE7-4922-B420-FEDF8C847D80}">
  <dimension ref="A2:N14"/>
  <sheetViews>
    <sheetView tabSelected="1" zoomScaleNormal="100" workbookViewId="0">
      <pane xSplit="2" topLeftCell="C1" activePane="topRight" state="frozen"/>
      <selection pane="topRight" activeCell="B14" sqref="B14:J14"/>
    </sheetView>
  </sheetViews>
  <sheetFormatPr defaultRowHeight="15" x14ac:dyDescent="0.25"/>
  <cols>
    <col min="1" max="1" width="5.140625" customWidth="1"/>
    <col min="2" max="2" width="23.42578125" bestFit="1" customWidth="1"/>
    <col min="3" max="4" width="12.140625" customWidth="1"/>
    <col min="5" max="5" width="19.5703125" bestFit="1" customWidth="1"/>
    <col min="6" max="6" width="12.140625" customWidth="1"/>
    <col min="7" max="8" width="10.7109375" customWidth="1"/>
    <col min="9" max="9" width="27.28515625" bestFit="1" customWidth="1"/>
    <col min="10" max="10" width="15.85546875" bestFit="1" customWidth="1"/>
    <col min="11" max="11" width="21.5703125" bestFit="1" customWidth="1"/>
    <col min="12" max="12" width="14.28515625" bestFit="1" customWidth="1"/>
    <col min="13" max="13" width="10.5703125" bestFit="1" customWidth="1"/>
    <col min="14" max="14" width="20.28515625" bestFit="1" customWidth="1"/>
  </cols>
  <sheetData>
    <row r="2" spans="1:14" ht="18.75" x14ac:dyDescent="0.3">
      <c r="A2" s="17" t="s">
        <v>54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s="20" customFormat="1" ht="37.5" x14ac:dyDescent="0.25">
      <c r="A4" s="18" t="s">
        <v>0</v>
      </c>
      <c r="B4" s="18" t="s">
        <v>1</v>
      </c>
      <c r="C4" s="18" t="s">
        <v>15</v>
      </c>
      <c r="D4" s="18" t="s">
        <v>28</v>
      </c>
      <c r="E4" s="18" t="s">
        <v>29</v>
      </c>
      <c r="F4" s="18" t="s">
        <v>30</v>
      </c>
      <c r="G4" s="19" t="s">
        <v>31</v>
      </c>
      <c r="H4" s="19"/>
      <c r="I4" s="18" t="s">
        <v>3</v>
      </c>
      <c r="J4" s="18" t="s">
        <v>2</v>
      </c>
      <c r="K4" s="18" t="s">
        <v>9</v>
      </c>
      <c r="L4" s="18" t="s">
        <v>21</v>
      </c>
      <c r="M4" s="18" t="s">
        <v>22</v>
      </c>
      <c r="N4" s="18" t="s">
        <v>16</v>
      </c>
    </row>
    <row r="5" spans="1:14" ht="15.75" x14ac:dyDescent="0.25">
      <c r="A5" s="4">
        <v>1</v>
      </c>
      <c r="B5" s="1" t="s">
        <v>4</v>
      </c>
      <c r="C5" s="2" t="s">
        <v>17</v>
      </c>
      <c r="D5" s="1" t="s">
        <v>50</v>
      </c>
      <c r="E5" s="13" t="s">
        <v>32</v>
      </c>
      <c r="F5" s="11" t="s">
        <v>38</v>
      </c>
      <c r="G5" s="11">
        <v>1100</v>
      </c>
      <c r="H5" s="11" t="s">
        <v>56</v>
      </c>
      <c r="I5" s="1" t="s">
        <v>4</v>
      </c>
      <c r="J5" s="9" t="s">
        <v>5</v>
      </c>
      <c r="K5" s="1" t="s">
        <v>10</v>
      </c>
      <c r="L5" s="7">
        <v>370000</v>
      </c>
      <c r="M5" s="7">
        <v>55500</v>
      </c>
      <c r="N5" s="8">
        <f>L5-M5</f>
        <v>314500</v>
      </c>
    </row>
    <row r="6" spans="1:14" ht="15.75" x14ac:dyDescent="0.25">
      <c r="A6" s="4">
        <v>2</v>
      </c>
      <c r="B6" s="1" t="s">
        <v>6</v>
      </c>
      <c r="C6" s="2" t="s">
        <v>18</v>
      </c>
      <c r="D6" s="1" t="s">
        <v>50</v>
      </c>
      <c r="E6" s="13" t="s">
        <v>33</v>
      </c>
      <c r="F6" s="11" t="s">
        <v>39</v>
      </c>
      <c r="G6" s="11">
        <v>1101</v>
      </c>
      <c r="H6" s="11" t="s">
        <v>57</v>
      </c>
      <c r="I6" s="1" t="s">
        <v>6</v>
      </c>
      <c r="J6" s="9" t="s">
        <v>7</v>
      </c>
      <c r="K6" s="1" t="s">
        <v>10</v>
      </c>
      <c r="L6" s="7">
        <v>2665000</v>
      </c>
      <c r="M6" s="10">
        <v>0</v>
      </c>
      <c r="N6" s="8">
        <f t="shared" ref="N6:N9" si="0">L6-M6</f>
        <v>2665000</v>
      </c>
    </row>
    <row r="7" spans="1:14" ht="15.75" x14ac:dyDescent="0.25">
      <c r="A7" s="4">
        <v>3</v>
      </c>
      <c r="B7" s="1" t="s">
        <v>11</v>
      </c>
      <c r="C7" s="2" t="s">
        <v>19</v>
      </c>
      <c r="D7" s="1" t="s">
        <v>50</v>
      </c>
      <c r="E7" s="13" t="s">
        <v>34</v>
      </c>
      <c r="F7" s="11" t="s">
        <v>40</v>
      </c>
      <c r="G7" s="11">
        <v>1103</v>
      </c>
      <c r="H7" s="11" t="s">
        <v>59</v>
      </c>
      <c r="I7" s="1" t="s">
        <v>12</v>
      </c>
      <c r="J7" s="12">
        <v>1864498584</v>
      </c>
      <c r="K7" s="1" t="s">
        <v>10</v>
      </c>
      <c r="L7" s="7">
        <v>3036000</v>
      </c>
      <c r="M7" s="10">
        <v>0</v>
      </c>
      <c r="N7" s="8">
        <f t="shared" si="0"/>
        <v>3036000</v>
      </c>
    </row>
    <row r="8" spans="1:14" ht="15.75" x14ac:dyDescent="0.25">
      <c r="A8" s="4">
        <v>4</v>
      </c>
      <c r="B8" s="1" t="s">
        <v>13</v>
      </c>
      <c r="C8" s="2" t="s">
        <v>20</v>
      </c>
      <c r="D8" s="1" t="s">
        <v>50</v>
      </c>
      <c r="E8" s="13" t="s">
        <v>35</v>
      </c>
      <c r="F8" s="11" t="s">
        <v>41</v>
      </c>
      <c r="G8" s="11">
        <v>1000</v>
      </c>
      <c r="H8" s="11" t="s">
        <v>60</v>
      </c>
      <c r="I8" s="1" t="s">
        <v>14</v>
      </c>
      <c r="J8" s="12">
        <v>1864493563</v>
      </c>
      <c r="K8" s="1" t="s">
        <v>10</v>
      </c>
      <c r="L8" s="7">
        <v>3239000</v>
      </c>
      <c r="M8" s="10">
        <v>0</v>
      </c>
      <c r="N8" s="8">
        <f t="shared" si="0"/>
        <v>3239000</v>
      </c>
    </row>
    <row r="9" spans="1:14" ht="15.75" x14ac:dyDescent="0.25">
      <c r="A9" s="4">
        <v>5</v>
      </c>
      <c r="B9" s="1" t="s">
        <v>23</v>
      </c>
      <c r="C9" s="12">
        <v>96120575</v>
      </c>
      <c r="D9" s="1" t="s">
        <v>50</v>
      </c>
      <c r="E9" s="13" t="s">
        <v>37</v>
      </c>
      <c r="F9" s="11" t="s">
        <v>40</v>
      </c>
      <c r="G9" s="11">
        <v>1100</v>
      </c>
      <c r="H9" s="11" t="s">
        <v>56</v>
      </c>
      <c r="I9" s="1" t="s">
        <v>24</v>
      </c>
      <c r="J9" s="12" t="s">
        <v>25</v>
      </c>
      <c r="K9" s="1" t="s">
        <v>10</v>
      </c>
      <c r="L9" s="7">
        <v>5046000</v>
      </c>
      <c r="M9" s="10">
        <v>0</v>
      </c>
      <c r="N9" s="8">
        <f t="shared" si="0"/>
        <v>5046000</v>
      </c>
    </row>
    <row r="10" spans="1:14" ht="15.75" x14ac:dyDescent="0.25">
      <c r="A10" s="4">
        <v>6</v>
      </c>
      <c r="B10" s="1" t="s">
        <v>26</v>
      </c>
      <c r="C10" s="9">
        <v>81070846</v>
      </c>
      <c r="D10" s="1" t="s">
        <v>50</v>
      </c>
      <c r="E10" s="13" t="s">
        <v>36</v>
      </c>
      <c r="F10" s="11" t="s">
        <v>39</v>
      </c>
      <c r="G10" s="11">
        <v>1103</v>
      </c>
      <c r="H10" s="11" t="s">
        <v>59</v>
      </c>
      <c r="I10" s="1" t="s">
        <v>27</v>
      </c>
      <c r="J10" s="12">
        <v>1986581927</v>
      </c>
      <c r="K10" s="1" t="s">
        <v>10</v>
      </c>
      <c r="L10" s="7">
        <v>3265000</v>
      </c>
      <c r="M10" s="10">
        <v>0</v>
      </c>
      <c r="N10" s="8">
        <f t="shared" ref="N10:N13" si="1">L10-M10</f>
        <v>3265000</v>
      </c>
    </row>
    <row r="11" spans="1:14" ht="15.75" x14ac:dyDescent="0.25">
      <c r="A11" s="4">
        <v>7</v>
      </c>
      <c r="B11" s="1" t="s">
        <v>42</v>
      </c>
      <c r="C11" s="9">
        <v>84090402</v>
      </c>
      <c r="D11" s="1" t="s">
        <v>50</v>
      </c>
      <c r="E11" s="13" t="s">
        <v>53</v>
      </c>
      <c r="F11" s="11" t="s">
        <v>39</v>
      </c>
      <c r="G11" s="11">
        <v>1103</v>
      </c>
      <c r="H11" s="11" t="s">
        <v>59</v>
      </c>
      <c r="I11" s="1" t="s">
        <v>45</v>
      </c>
      <c r="J11" s="12">
        <v>1439154092</v>
      </c>
      <c r="K11" s="1" t="s">
        <v>10</v>
      </c>
      <c r="L11" s="7">
        <v>3381000</v>
      </c>
      <c r="M11" s="10">
        <v>0</v>
      </c>
      <c r="N11" s="8">
        <f t="shared" si="1"/>
        <v>3381000</v>
      </c>
    </row>
    <row r="12" spans="1:14" ht="15.75" x14ac:dyDescent="0.25">
      <c r="A12" s="4">
        <v>8</v>
      </c>
      <c r="B12" s="1" t="s">
        <v>43</v>
      </c>
      <c r="C12" s="9">
        <v>84120406</v>
      </c>
      <c r="D12" s="1" t="s">
        <v>50</v>
      </c>
      <c r="E12" s="13" t="s">
        <v>52</v>
      </c>
      <c r="F12" s="11" t="s">
        <v>39</v>
      </c>
      <c r="G12" s="11">
        <v>1102</v>
      </c>
      <c r="H12" s="11" t="s">
        <v>58</v>
      </c>
      <c r="I12" s="1" t="s">
        <v>44</v>
      </c>
      <c r="J12" s="12" t="s">
        <v>46</v>
      </c>
      <c r="K12" s="1" t="s">
        <v>10</v>
      </c>
      <c r="L12" s="7">
        <v>3787000</v>
      </c>
      <c r="M12" s="10">
        <v>0</v>
      </c>
      <c r="N12" s="8">
        <f t="shared" si="1"/>
        <v>3787000</v>
      </c>
    </row>
    <row r="13" spans="1:14" ht="15.75" x14ac:dyDescent="0.25">
      <c r="A13" s="4">
        <v>9</v>
      </c>
      <c r="B13" s="1" t="s">
        <v>47</v>
      </c>
      <c r="C13" s="9">
        <v>97050808</v>
      </c>
      <c r="D13" s="1" t="s">
        <v>51</v>
      </c>
      <c r="E13" s="13" t="s">
        <v>55</v>
      </c>
      <c r="F13" s="11" t="s">
        <v>41</v>
      </c>
      <c r="G13" s="11">
        <v>1102</v>
      </c>
      <c r="H13" s="11" t="s">
        <v>58</v>
      </c>
      <c r="I13" s="1" t="s">
        <v>47</v>
      </c>
      <c r="J13" s="12" t="s">
        <v>48</v>
      </c>
      <c r="K13" s="1" t="s">
        <v>49</v>
      </c>
      <c r="L13" s="7">
        <v>4110000</v>
      </c>
      <c r="M13" s="10">
        <v>0</v>
      </c>
      <c r="N13" s="8">
        <f t="shared" si="1"/>
        <v>4110000</v>
      </c>
    </row>
    <row r="14" spans="1:14" ht="18.75" x14ac:dyDescent="0.3">
      <c r="A14" s="1"/>
      <c r="B14" s="14" t="s">
        <v>8</v>
      </c>
      <c r="C14" s="15"/>
      <c r="D14" s="15"/>
      <c r="E14" s="15"/>
      <c r="F14" s="15"/>
      <c r="G14" s="15"/>
      <c r="H14" s="15"/>
      <c r="I14" s="15"/>
      <c r="J14" s="16"/>
      <c r="K14" s="3"/>
      <c r="L14" s="5">
        <f>SUM(L5:L13)</f>
        <v>28899000</v>
      </c>
      <c r="M14" s="5">
        <f>SUM(M5:M13)</f>
        <v>55500</v>
      </c>
      <c r="N14" s="6">
        <f>SUM(N5:N13)</f>
        <v>28843500</v>
      </c>
    </row>
  </sheetData>
  <mergeCells count="2">
    <mergeCell ref="B14:J14"/>
    <mergeCell ref="A2:N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Fahmi</dc:creator>
  <cp:lastModifiedBy>Sekjen Kemenkes</cp:lastModifiedBy>
  <dcterms:created xsi:type="dcterms:W3CDTF">2023-12-22T06:45:57Z</dcterms:created>
  <dcterms:modified xsi:type="dcterms:W3CDTF">2026-09-17T07:21:36Z</dcterms:modified>
</cp:coreProperties>
</file>